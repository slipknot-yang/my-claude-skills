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연도별_추이" sheetId="2" state="visible" r:id="rId2"/>
    <sheet xmlns:r="http://schemas.openxmlformats.org/officeDocument/2006/relationships" name="품목별_현황" sheetId="3" state="visible" r:id="rId3"/>
    <sheet xmlns:r="http://schemas.openxmlformats.org/officeDocument/2006/relationships" name="국가별_현황" sheetId="4" state="visible" r:id="rId4"/>
    <sheet xmlns:r="http://schemas.openxmlformats.org/officeDocument/2006/relationships" name="세관별_현황" sheetId="5" state="visible" r:id="rId5"/>
    <sheet xmlns:r="http://schemas.openxmlformats.org/officeDocument/2006/relationships" name="월별_추이" sheetId="6" state="visible" r:id="rId6"/>
    <sheet xmlns:r="http://schemas.openxmlformats.org/officeDocument/2006/relationships" name="Claude_분석_가이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연도별 관세 수입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'연도별_추이'!C1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'연도별_추이'!$A$2:$A$8</f>
            </numRef>
          </cat>
          <val>
            <numRef>
              <f>'연도별_추이'!$C$2:$C$8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세액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관세 수입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'월별_추이'!C1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'월별_추이'!$A$2:$A$24</f>
            </numRef>
          </cat>
          <val>
            <numRef>
              <f>'월별_추이'!$C$2:$C$24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세액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값</t>
        </is>
      </c>
    </row>
    <row r="2">
      <c r="A2" t="inlineStr">
        <is>
          <t>분석 기간</t>
        </is>
      </c>
      <c r="B2" t="inlineStr">
        <is>
          <t>2020 ~ 2026</t>
        </is>
      </c>
    </row>
    <row r="3">
      <c r="A3" t="inlineStr">
        <is>
          <t>총 건수</t>
        </is>
      </c>
      <c r="B3" t="inlineStr">
        <is>
          <t>9,239,728 건</t>
        </is>
      </c>
    </row>
    <row r="4">
      <c r="A4" t="inlineStr">
        <is>
          <t>총 세액 (현지화)</t>
        </is>
      </c>
      <c r="B4" t="inlineStr">
        <is>
          <t>149,903,392,342,202</t>
        </is>
      </c>
    </row>
    <row r="5">
      <c r="A5" t="inlineStr">
        <is>
          <t>총 수입액 (USD)</t>
        </is>
      </c>
      <c r="B5" t="inlineStr">
        <is>
          <t>$320,057,065,209</t>
        </is>
      </c>
    </row>
    <row r="6">
      <c r="A6" t="inlineStr">
        <is>
          <t>TOP 품목</t>
        </is>
      </c>
      <c r="B6" t="inlineStr">
        <is>
          <t>74 (구리와 그 제품)</t>
        </is>
      </c>
    </row>
    <row r="7">
      <c r="A7" t="inlineStr">
        <is>
          <t>TOP 교역국</t>
        </is>
      </c>
      <c r="B7" t="inlineStr">
        <is>
          <t>CD (콩고민주공화국)</t>
        </is>
      </c>
    </row>
    <row r="8">
      <c r="A8" t="inlineStr">
        <is>
          <t>평균 연간 세액</t>
        </is>
      </c>
      <c r="B8" t="inlineStr">
        <is>
          <t>21,414,770,334,600</t>
        </is>
      </c>
    </row>
    <row r="9">
      <c r="A9" t="inlineStr">
        <is>
          <t>최근 성장률</t>
        </is>
      </c>
      <c r="B9" t="inlineStr">
        <is>
          <t>-100.0%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ITEM_COUNT</t>
        </is>
      </c>
      <c r="C1" t="inlineStr">
        <is>
          <t>TOTAL_TAX</t>
        </is>
      </c>
      <c r="D1" t="inlineStr">
        <is>
          <t>TOTAL_VALUE_USD</t>
        </is>
      </c>
      <c r="E1" t="inlineStr">
        <is>
          <t>AVG_TAX</t>
        </is>
      </c>
      <c r="F1" t="inlineStr">
        <is>
          <t>GROWTH_RATE</t>
        </is>
      </c>
    </row>
    <row r="2">
      <c r="A2" t="inlineStr">
        <is>
          <t>2026</t>
        </is>
      </c>
      <c r="B2" t="n">
        <v>5</v>
      </c>
      <c r="C2" t="n">
        <v>1215874</v>
      </c>
      <c r="D2" t="n">
        <v>4000</v>
      </c>
      <c r="E2" t="n">
        <v>607937</v>
      </c>
      <c r="F2" t="n">
        <v>-100</v>
      </c>
    </row>
    <row r="3">
      <c r="A3" t="inlineStr">
        <is>
          <t>2025</t>
        </is>
      </c>
      <c r="B3" t="n">
        <v>3034</v>
      </c>
      <c r="C3" t="n">
        <v>55770546828</v>
      </c>
      <c r="D3" t="n">
        <v>50576695.4594</v>
      </c>
      <c r="E3" t="n">
        <v>18509972</v>
      </c>
      <c r="F3" t="n">
        <v>-99.8</v>
      </c>
    </row>
    <row r="4">
      <c r="A4" t="inlineStr">
        <is>
          <t>2024</t>
        </is>
      </c>
      <c r="B4" t="n">
        <v>1286860</v>
      </c>
      <c r="C4" t="n">
        <v>29172895020844</v>
      </c>
      <c r="D4" t="n">
        <v>55186105394.6513</v>
      </c>
      <c r="E4" t="n">
        <v>22670075</v>
      </c>
      <c r="F4" t="n">
        <v>-23.4</v>
      </c>
    </row>
    <row r="5">
      <c r="A5" t="inlineStr">
        <is>
          <t>2023</t>
        </is>
      </c>
      <c r="B5" t="n">
        <v>2314026</v>
      </c>
      <c r="C5" t="n">
        <v>38078349995843</v>
      </c>
      <c r="D5" t="n">
        <v>95106050374.13789</v>
      </c>
      <c r="E5" t="n">
        <v>16455455</v>
      </c>
      <c r="F5" t="n">
        <v>-6.8</v>
      </c>
    </row>
    <row r="6">
      <c r="A6" t="inlineStr">
        <is>
          <t>2022</t>
        </is>
      </c>
      <c r="B6" t="n">
        <v>2217299</v>
      </c>
      <c r="C6" t="n">
        <v>40843858752141</v>
      </c>
      <c r="D6" t="n">
        <v>90177879639.30479</v>
      </c>
      <c r="E6" t="n">
        <v>18420721</v>
      </c>
      <c r="F6" t="n">
        <v>61.8</v>
      </c>
    </row>
    <row r="7">
      <c r="A7" t="inlineStr">
        <is>
          <t>2021</t>
        </is>
      </c>
      <c r="B7" t="n">
        <v>1906496</v>
      </c>
      <c r="C7" t="n">
        <v>25248823855611</v>
      </c>
      <c r="D7" t="n">
        <v>49665108113.974</v>
      </c>
      <c r="E7" t="n">
        <v>13243589</v>
      </c>
      <c r="F7" t="n">
        <v>53</v>
      </c>
    </row>
    <row r="8">
      <c r="A8" t="inlineStr">
        <is>
          <t>2020</t>
        </is>
      </c>
      <c r="B8" t="n">
        <v>1512008</v>
      </c>
      <c r="C8" t="n">
        <v>16503692955061</v>
      </c>
      <c r="D8" t="n">
        <v>29871340991.5248</v>
      </c>
      <c r="E8" t="n">
        <v>10915163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HS2_CODE</t>
        </is>
      </c>
      <c r="B1" t="inlineStr">
        <is>
          <t>ITEM_COUNT</t>
        </is>
      </c>
      <c r="C1" t="inlineStr">
        <is>
          <t>TOTAL_TAX</t>
        </is>
      </c>
      <c r="D1" t="inlineStr">
        <is>
          <t>TOTAL_VALUE_USD</t>
        </is>
      </c>
      <c r="E1" t="inlineStr">
        <is>
          <t>AVG_TAX</t>
        </is>
      </c>
      <c r="F1" t="inlineStr">
        <is>
          <t>HS2_NAME</t>
        </is>
      </c>
      <c r="G1" t="inlineStr">
        <is>
          <t>TAX_SHARE</t>
        </is>
      </c>
    </row>
    <row r="2">
      <c r="A2" t="inlineStr">
        <is>
          <t>74</t>
        </is>
      </c>
      <c r="B2" t="n">
        <v>410393</v>
      </c>
      <c r="C2" t="n">
        <v>76570521276135.28</v>
      </c>
      <c r="D2" t="n">
        <v>180404824346.0373</v>
      </c>
      <c r="E2" t="n">
        <v>186578527</v>
      </c>
      <c r="F2" t="inlineStr">
        <is>
          <t>구리와 그 제품</t>
        </is>
      </c>
      <c r="G2" t="n">
        <v>34.1</v>
      </c>
    </row>
    <row r="3">
      <c r="A3" t="inlineStr">
        <is>
          <t>27</t>
        </is>
      </c>
      <c r="B3" t="n">
        <v>153804</v>
      </c>
      <c r="C3" t="n">
        <v>42253886198679.09</v>
      </c>
      <c r="D3" t="n">
        <v>61102373500.5779</v>
      </c>
      <c r="E3" t="n">
        <v>274725535</v>
      </c>
      <c r="F3" t="inlineStr">
        <is>
          <t>광물성 연료, 광물유</t>
        </is>
      </c>
      <c r="G3" t="n">
        <v>18.8</v>
      </c>
    </row>
    <row r="4">
      <c r="A4" t="inlineStr">
        <is>
          <t>87</t>
        </is>
      </c>
      <c r="B4" t="n">
        <v>6185771</v>
      </c>
      <c r="C4" t="n">
        <v>26845487836440.57</v>
      </c>
      <c r="D4" t="n">
        <v>20939742717.058</v>
      </c>
      <c r="E4" t="n">
        <v>4339877</v>
      </c>
      <c r="F4" t="inlineStr">
        <is>
          <t>차량(철도/전차 제외)</t>
        </is>
      </c>
      <c r="G4" t="n">
        <v>12</v>
      </c>
    </row>
    <row r="5">
      <c r="A5" t="inlineStr">
        <is>
          <t>26</t>
        </is>
      </c>
      <c r="B5" t="n">
        <v>92932</v>
      </c>
      <c r="C5" t="n">
        <v>13581990803913.92</v>
      </c>
      <c r="D5" t="n">
        <v>31185874936.4086</v>
      </c>
      <c r="E5" t="n">
        <v>146149774</v>
      </c>
      <c r="F5" t="inlineStr">
        <is>
          <t>광, 슬래그 및 회</t>
        </is>
      </c>
      <c r="G5" t="n">
        <v>6.1</v>
      </c>
    </row>
    <row r="6">
      <c r="A6" t="inlineStr">
        <is>
          <t>84</t>
        </is>
      </c>
      <c r="B6" t="n">
        <v>2313399</v>
      </c>
      <c r="C6" t="n">
        <v>7272115810574.938</v>
      </c>
      <c r="D6" t="n">
        <v>18376903315.404</v>
      </c>
      <c r="E6" t="n">
        <v>3143477</v>
      </c>
      <c r="F6" t="inlineStr">
        <is>
          <t>원자로, 보일러, 기계류</t>
        </is>
      </c>
      <c r="G6" t="n">
        <v>3.2</v>
      </c>
    </row>
    <row r="7">
      <c r="A7" t="inlineStr">
        <is>
          <t>85</t>
        </is>
      </c>
      <c r="B7" t="n">
        <v>1651363</v>
      </c>
      <c r="C7" t="n">
        <v>6166686317247.316</v>
      </c>
      <c r="D7" t="n">
        <v>10570688904.0695</v>
      </c>
      <c r="E7" t="n">
        <v>3734301</v>
      </c>
      <c r="F7" t="inlineStr">
        <is>
          <t>전기기기</t>
        </is>
      </c>
      <c r="G7" t="n">
        <v>2.7</v>
      </c>
    </row>
    <row r="8">
      <c r="A8" t="inlineStr">
        <is>
          <t>39</t>
        </is>
      </c>
      <c r="B8" t="n">
        <v>745862</v>
      </c>
      <c r="C8" t="n">
        <v>5146176573868.342</v>
      </c>
      <c r="D8" t="n">
        <v>7838364089.1234</v>
      </c>
      <c r="E8" t="n">
        <v>6899636</v>
      </c>
      <c r="F8" t="inlineStr">
        <is>
          <t>플라스틱과 그 제품</t>
        </is>
      </c>
      <c r="G8" t="n">
        <v>2.3</v>
      </c>
    </row>
    <row r="9">
      <c r="A9" t="inlineStr">
        <is>
          <t>72</t>
        </is>
      </c>
      <c r="B9" t="n">
        <v>117310</v>
      </c>
      <c r="C9" t="n">
        <v>4529959210468.023</v>
      </c>
      <c r="D9" t="n">
        <v>7409021697.852</v>
      </c>
      <c r="E9" t="n">
        <v>38615286</v>
      </c>
      <c r="F9" t="inlineStr">
        <is>
          <t>철강</t>
        </is>
      </c>
      <c r="G9" t="n">
        <v>2</v>
      </c>
    </row>
    <row r="10">
      <c r="A10" t="inlineStr">
        <is>
          <t>24</t>
        </is>
      </c>
      <c r="B10" t="n">
        <v>7342</v>
      </c>
      <c r="C10" t="n">
        <v>3869416225902.9</v>
      </c>
      <c r="D10" t="n">
        <v>872599204.2695</v>
      </c>
      <c r="E10" t="n">
        <v>527024820</v>
      </c>
      <c r="F10" t="inlineStr">
        <is>
          <t>담배</t>
        </is>
      </c>
      <c r="G10" t="n">
        <v>1.7</v>
      </c>
    </row>
    <row r="11">
      <c r="A11" t="inlineStr">
        <is>
          <t>63</t>
        </is>
      </c>
      <c r="B11" t="n">
        <v>302318</v>
      </c>
      <c r="C11" t="n">
        <v>3645323176036.479</v>
      </c>
      <c r="D11" t="n">
        <v>2571463223.8884</v>
      </c>
      <c r="E11" t="n">
        <v>12057910</v>
      </c>
      <c r="F11" t="inlineStr">
        <is>
          <t>방직용 섬유제품</t>
        </is>
      </c>
      <c r="G11" t="n">
        <v>1.6</v>
      </c>
    </row>
    <row r="12">
      <c r="A12" t="inlineStr">
        <is>
          <t>28</t>
        </is>
      </c>
      <c r="B12" t="n">
        <v>81220</v>
      </c>
      <c r="C12" t="n">
        <v>3629130196447.8</v>
      </c>
      <c r="D12" t="n">
        <v>8121086611.4059</v>
      </c>
      <c r="E12" t="n">
        <v>44682716</v>
      </c>
      <c r="F12" t="inlineStr">
        <is>
          <t>무기화학품</t>
        </is>
      </c>
      <c r="G12" t="n">
        <v>1.6</v>
      </c>
    </row>
    <row r="13">
      <c r="A13" t="inlineStr">
        <is>
          <t>73</t>
        </is>
      </c>
      <c r="B13" t="n">
        <v>864675</v>
      </c>
      <c r="C13" t="n">
        <v>3621570911659.14</v>
      </c>
      <c r="D13" t="n">
        <v>4853617183.0993</v>
      </c>
      <c r="E13" t="n">
        <v>4188361</v>
      </c>
      <c r="F13" t="inlineStr">
        <is>
          <t>철강 제품</t>
        </is>
      </c>
      <c r="G13" t="n">
        <v>1.6</v>
      </c>
    </row>
    <row r="14">
      <c r="A14" t="inlineStr">
        <is>
          <t>15</t>
        </is>
      </c>
      <c r="B14" t="n">
        <v>70308</v>
      </c>
      <c r="C14" t="n">
        <v>3370026768320.551</v>
      </c>
      <c r="D14" t="n">
        <v>3606251499.2726</v>
      </c>
      <c r="E14" t="n">
        <v>47932337</v>
      </c>
      <c r="F14" t="inlineStr">
        <is>
          <t>동물성/식물성 유지</t>
        </is>
      </c>
      <c r="G14" t="n">
        <v>1.5</v>
      </c>
    </row>
    <row r="15">
      <c r="A15" t="inlineStr">
        <is>
          <t>40</t>
        </is>
      </c>
      <c r="B15" t="n">
        <v>492711</v>
      </c>
      <c r="C15" t="n">
        <v>2766359441409.412</v>
      </c>
      <c r="D15" t="n">
        <v>3547706047.0357</v>
      </c>
      <c r="E15" t="n">
        <v>5614568</v>
      </c>
      <c r="F15" t="inlineStr">
        <is>
          <t>고무와 그 제품</t>
        </is>
      </c>
      <c r="G15" t="n">
        <v>1.2</v>
      </c>
    </row>
    <row r="16">
      <c r="A16" t="inlineStr">
        <is>
          <t>17</t>
        </is>
      </c>
      <c r="B16" t="n">
        <v>46827</v>
      </c>
      <c r="C16" t="n">
        <v>2270923500532.04</v>
      </c>
      <c r="D16" t="n">
        <v>2001452844.2759</v>
      </c>
      <c r="E16" t="n">
        <v>48496028</v>
      </c>
      <c r="F16" t="inlineStr">
        <is>
          <t>당류와 설탕과자</t>
        </is>
      </c>
      <c r="G16" t="n">
        <v>1</v>
      </c>
    </row>
    <row r="17">
      <c r="A17" t="inlineStr">
        <is>
          <t>94</t>
        </is>
      </c>
      <c r="B17" t="n">
        <v>495530</v>
      </c>
      <c r="C17" t="n">
        <v>2199492438873.046</v>
      </c>
      <c r="D17" t="n">
        <v>1722820622.5752</v>
      </c>
      <c r="E17" t="n">
        <v>4438667</v>
      </c>
      <c r="F17" t="inlineStr">
        <is>
          <t>가구, 침구</t>
        </is>
      </c>
      <c r="G17" t="n">
        <v>1</v>
      </c>
    </row>
    <row r="18">
      <c r="A18" t="inlineStr">
        <is>
          <t>10</t>
        </is>
      </c>
      <c r="B18" t="n">
        <v>27730</v>
      </c>
      <c r="C18" t="n">
        <v>1855670653476.979</v>
      </c>
      <c r="D18" t="n">
        <v>4261882490.6971</v>
      </c>
      <c r="E18" t="n">
        <v>66919245</v>
      </c>
      <c r="F18" t="inlineStr">
        <is>
          <t>곡물</t>
        </is>
      </c>
      <c r="G18" t="n">
        <v>0.8</v>
      </c>
    </row>
    <row r="19">
      <c r="A19" t="inlineStr">
        <is>
          <t>52</t>
        </is>
      </c>
      <c r="B19" t="n">
        <v>24224</v>
      </c>
      <c r="C19" t="n">
        <v>1743110244768.42</v>
      </c>
      <c r="D19" t="n">
        <v>1097300495.0349</v>
      </c>
      <c r="E19" t="n">
        <v>71957986</v>
      </c>
      <c r="F19" t="inlineStr">
        <is>
          <t>면</t>
        </is>
      </c>
      <c r="G19" t="n">
        <v>0.8</v>
      </c>
    </row>
    <row r="20">
      <c r="A20" t="inlineStr">
        <is>
          <t>22</t>
        </is>
      </c>
      <c r="B20" t="n">
        <v>90178</v>
      </c>
      <c r="C20" t="n">
        <v>1573893618762.029</v>
      </c>
      <c r="D20" t="n">
        <v>1003614231.0246</v>
      </c>
      <c r="E20" t="n">
        <v>17453188</v>
      </c>
      <c r="F20" t="inlineStr">
        <is>
          <t>음료, 알코올</t>
        </is>
      </c>
      <c r="G20" t="n">
        <v>0.7</v>
      </c>
    </row>
    <row r="21">
      <c r="A21" t="inlineStr">
        <is>
          <t>08</t>
        </is>
      </c>
      <c r="B21" t="n">
        <v>33903</v>
      </c>
      <c r="C21" t="n">
        <v>1488443644276.068</v>
      </c>
      <c r="D21" t="n">
        <v>4152590082.4319</v>
      </c>
      <c r="E21" t="n">
        <v>43903007</v>
      </c>
      <c r="F21" t="inlineStr">
        <is>
          <t>과실과 견과류</t>
        </is>
      </c>
      <c r="G21" t="n">
        <v>0.7</v>
      </c>
    </row>
    <row r="22">
      <c r="A22" t="inlineStr">
        <is>
          <t>48</t>
        </is>
      </c>
      <c r="B22" t="n">
        <v>227613</v>
      </c>
      <c r="C22" t="n">
        <v>1422216518631.813</v>
      </c>
      <c r="D22" t="n">
        <v>1867181949.4001</v>
      </c>
      <c r="E22" t="n">
        <v>6248398</v>
      </c>
      <c r="F22" t="inlineStr">
        <is>
          <t>기타</t>
        </is>
      </c>
      <c r="G22" t="n">
        <v>0.6</v>
      </c>
    </row>
    <row r="23">
      <c r="A23" t="inlineStr">
        <is>
          <t>33</t>
        </is>
      </c>
      <c r="B23" t="n">
        <v>162602</v>
      </c>
      <c r="C23" t="n">
        <v>1270391478165.054</v>
      </c>
      <c r="D23" t="n">
        <v>1520745067.6234</v>
      </c>
      <c r="E23" t="n">
        <v>7812890</v>
      </c>
      <c r="F23" t="inlineStr">
        <is>
          <t>기타</t>
        </is>
      </c>
      <c r="G23" t="n">
        <v>0.6</v>
      </c>
    </row>
    <row r="24">
      <c r="A24" t="inlineStr">
        <is>
          <t>69</t>
        </is>
      </c>
      <c r="B24" t="n">
        <v>185851</v>
      </c>
      <c r="C24" t="n">
        <v>1153528261534.269</v>
      </c>
      <c r="D24" t="n">
        <v>1048914125.8088</v>
      </c>
      <c r="E24" t="n">
        <v>6206737</v>
      </c>
      <c r="F24" t="inlineStr">
        <is>
          <t>기타</t>
        </is>
      </c>
      <c r="G24" t="n">
        <v>0.5</v>
      </c>
    </row>
    <row r="25">
      <c r="A25" t="inlineStr">
        <is>
          <t>34</t>
        </is>
      </c>
      <c r="B25" t="n">
        <v>106570</v>
      </c>
      <c r="C25" t="n">
        <v>1063272434898.073</v>
      </c>
      <c r="D25" t="n">
        <v>1296670342.2021</v>
      </c>
      <c r="E25" t="n">
        <v>9977221</v>
      </c>
      <c r="F25" t="inlineStr">
        <is>
          <t>기타</t>
        </is>
      </c>
      <c r="G25" t="n">
        <v>0.5</v>
      </c>
    </row>
    <row r="26">
      <c r="A26" t="inlineStr">
        <is>
          <t>25</t>
        </is>
      </c>
      <c r="B26" t="n">
        <v>58533</v>
      </c>
      <c r="C26" t="n">
        <v>957874838809.7449</v>
      </c>
      <c r="D26" t="n">
        <v>1391538720.3363</v>
      </c>
      <c r="E26" t="n">
        <v>16364698</v>
      </c>
      <c r="F26" t="inlineStr">
        <is>
          <t>기타</t>
        </is>
      </c>
      <c r="G26" t="n">
        <v>0.4</v>
      </c>
    </row>
    <row r="27">
      <c r="A27" t="inlineStr">
        <is>
          <t>64</t>
        </is>
      </c>
      <c r="B27" t="n">
        <v>150038</v>
      </c>
      <c r="C27" t="n">
        <v>886181935789.4429</v>
      </c>
      <c r="D27" t="n">
        <v>756808058.7505</v>
      </c>
      <c r="E27" t="n">
        <v>5906383</v>
      </c>
      <c r="F27" t="inlineStr">
        <is>
          <t>기타</t>
        </is>
      </c>
      <c r="G27" t="n">
        <v>0.4</v>
      </c>
    </row>
    <row r="28">
      <c r="A28" t="inlineStr">
        <is>
          <t>76</t>
        </is>
      </c>
      <c r="B28" t="n">
        <v>98478</v>
      </c>
      <c r="C28" t="n">
        <v>873159712660.3147</v>
      </c>
      <c r="D28" t="n">
        <v>1175329663.4402</v>
      </c>
      <c r="E28" t="n">
        <v>8866546</v>
      </c>
      <c r="F28" t="inlineStr">
        <is>
          <t>기타</t>
        </is>
      </c>
      <c r="G28" t="n">
        <v>0.4</v>
      </c>
    </row>
    <row r="29">
      <c r="A29" t="inlineStr">
        <is>
          <t>09</t>
        </is>
      </c>
      <c r="B29" t="n">
        <v>40008</v>
      </c>
      <c r="C29" t="n">
        <v>769349317605.9952</v>
      </c>
      <c r="D29" t="n">
        <v>1108980686.0176</v>
      </c>
      <c r="E29" t="n">
        <v>19229887</v>
      </c>
      <c r="F29" t="inlineStr">
        <is>
          <t>기타</t>
        </is>
      </c>
      <c r="G29" t="n">
        <v>0.3</v>
      </c>
    </row>
    <row r="30">
      <c r="A30" t="inlineStr">
        <is>
          <t>38</t>
        </is>
      </c>
      <c r="B30" t="n">
        <v>102035</v>
      </c>
      <c r="C30" t="n">
        <v>762490239121.675</v>
      </c>
      <c r="D30" t="n">
        <v>2581478834.5288</v>
      </c>
      <c r="E30" t="n">
        <v>7472830</v>
      </c>
      <c r="F30" t="inlineStr">
        <is>
          <t>기타</t>
        </is>
      </c>
      <c r="G30" t="n">
        <v>0.3</v>
      </c>
    </row>
    <row r="31">
      <c r="A31" t="inlineStr">
        <is>
          <t>21</t>
        </is>
      </c>
      <c r="B31" t="n">
        <v>91362</v>
      </c>
      <c r="C31" t="n">
        <v>737810624780.1223</v>
      </c>
      <c r="D31" t="n">
        <v>847584129.6999</v>
      </c>
      <c r="E31" t="n">
        <v>8075684</v>
      </c>
      <c r="F31" t="inlineStr">
        <is>
          <t>기타</t>
        </is>
      </c>
      <c r="G31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ITEM_COUNT</t>
        </is>
      </c>
      <c r="C1" t="inlineStr">
        <is>
          <t>TOTAL_TAX</t>
        </is>
      </c>
      <c r="D1" t="inlineStr">
        <is>
          <t>TOTAL_VALUE_USD</t>
        </is>
      </c>
      <c r="E1" t="inlineStr">
        <is>
          <t>COUNTRY_NAME</t>
        </is>
      </c>
      <c r="F1" t="inlineStr">
        <is>
          <t>VALUE_SHARE</t>
        </is>
      </c>
    </row>
    <row r="2">
      <c r="A2" t="inlineStr">
        <is>
          <t>CD</t>
        </is>
      </c>
      <c r="B2" t="n">
        <v>405960</v>
      </c>
      <c r="C2" t="n">
        <v>74554750438820.8</v>
      </c>
      <c r="D2" t="n">
        <v>183146151284.8902</v>
      </c>
      <c r="E2" t="inlineStr">
        <is>
          <t>콩고민주공화국</t>
        </is>
      </c>
      <c r="F2" t="n">
        <v>34.7</v>
      </c>
    </row>
    <row r="3">
      <c r="A3" t="inlineStr">
        <is>
          <t>TZ</t>
        </is>
      </c>
      <c r="B3" t="n">
        <v>1040526</v>
      </c>
      <c r="C3" t="n">
        <v>1757973047574.9</v>
      </c>
      <c r="D3" t="n">
        <v>74201871071.0015</v>
      </c>
      <c r="E3" t="inlineStr">
        <is>
          <t>탄자니아</t>
        </is>
      </c>
      <c r="F3" t="n">
        <v>14.1</v>
      </c>
    </row>
    <row r="4">
      <c r="A4" t="inlineStr">
        <is>
          <t>ZM</t>
        </is>
      </c>
      <c r="B4" t="n">
        <v>275404</v>
      </c>
      <c r="C4" t="n">
        <v>18586940236962.9</v>
      </c>
      <c r="D4" t="n">
        <v>53477844777.304</v>
      </c>
      <c r="E4" t="inlineStr">
        <is>
          <t>잠비아</t>
        </is>
      </c>
      <c r="F4" t="n">
        <v>10.1</v>
      </c>
    </row>
    <row r="5">
      <c r="A5" t="inlineStr">
        <is>
          <t>AE</t>
        </is>
      </c>
      <c r="B5" t="n">
        <v>1511544</v>
      </c>
      <c r="C5" t="n">
        <v>23381572516861.3</v>
      </c>
      <c r="D5" t="n">
        <v>48483660055.3679</v>
      </c>
      <c r="E5" t="inlineStr">
        <is>
          <t>아랍에미리트</t>
        </is>
      </c>
      <c r="F5" t="n">
        <v>9.199999999999999</v>
      </c>
    </row>
    <row r="6">
      <c r="A6" t="inlineStr">
        <is>
          <t>CN</t>
        </is>
      </c>
      <c r="B6" t="n">
        <v>7457686</v>
      </c>
      <c r="C6" t="n">
        <v>30947833675143.16</v>
      </c>
      <c r="D6" t="n">
        <v>45450402223.7871</v>
      </c>
      <c r="E6" t="inlineStr">
        <is>
          <t>중국</t>
        </is>
      </c>
      <c r="F6" t="n">
        <v>8.6</v>
      </c>
    </row>
    <row r="7">
      <c r="A7" t="inlineStr">
        <is>
          <t>IN</t>
        </is>
      </c>
      <c r="B7" t="n">
        <v>2614987</v>
      </c>
      <c r="C7" t="n">
        <v>18483958959297.18</v>
      </c>
      <c r="D7" t="n">
        <v>29761963735.2266</v>
      </c>
      <c r="E7" t="inlineStr">
        <is>
          <t>인도</t>
        </is>
      </c>
      <c r="F7" t="n">
        <v>5.6</v>
      </c>
    </row>
    <row r="8">
      <c r="A8" t="inlineStr">
        <is>
          <t>JP</t>
        </is>
      </c>
      <c r="B8" t="n">
        <v>2274589</v>
      </c>
      <c r="C8" t="n">
        <v>15660405447156.28</v>
      </c>
      <c r="D8" t="n">
        <v>11494762950.2467</v>
      </c>
      <c r="E8" t="inlineStr">
        <is>
          <t>일본</t>
        </is>
      </c>
      <c r="F8" t="n">
        <v>2.2</v>
      </c>
    </row>
    <row r="9">
      <c r="A9" t="inlineStr">
        <is>
          <t>ZA</t>
        </is>
      </c>
      <c r="B9" t="n">
        <v>850954</v>
      </c>
      <c r="C9" t="n">
        <v>3901435889930.864</v>
      </c>
      <c r="D9" t="n">
        <v>10167976505.5671</v>
      </c>
      <c r="E9" t="inlineStr">
        <is>
          <t>남아프리카공화국</t>
        </is>
      </c>
      <c r="F9" t="n">
        <v>1.9</v>
      </c>
    </row>
    <row r="10">
      <c r="A10" t="inlineStr">
        <is>
          <t>SA</t>
        </is>
      </c>
      <c r="B10" t="n">
        <v>54093</v>
      </c>
      <c r="C10" t="n">
        <v>7998962773252.922</v>
      </c>
      <c r="D10" t="n">
        <v>9460366666.113501</v>
      </c>
      <c r="E10" t="inlineStr">
        <is>
          <t>사우디아라비아</t>
        </is>
      </c>
      <c r="F10" t="n">
        <v>1.8</v>
      </c>
    </row>
    <row r="11">
      <c r="A11" t="inlineStr">
        <is>
          <t>US</t>
        </is>
      </c>
      <c r="B11" t="n">
        <v>602824</v>
      </c>
      <c r="C11" t="n">
        <v>2029297611062.952</v>
      </c>
      <c r="D11" t="n">
        <v>7782384771.2632</v>
      </c>
      <c r="E11" t="inlineStr">
        <is>
          <t>미국</t>
        </is>
      </c>
      <c r="F11" t="n">
        <v>1.5</v>
      </c>
    </row>
    <row r="12">
      <c r="A12" t="inlineStr">
        <is>
          <t>KE</t>
        </is>
      </c>
      <c r="B12" t="n">
        <v>329566</v>
      </c>
      <c r="C12" t="n">
        <v>5951330472097.689</v>
      </c>
      <c r="D12" t="n">
        <v>5839154218.1176</v>
      </c>
      <c r="E12" t="inlineStr">
        <is>
          <t>케냐</t>
        </is>
      </c>
      <c r="F12" t="n">
        <v>1.1</v>
      </c>
    </row>
    <row r="13">
      <c r="A13" t="inlineStr">
        <is>
          <t>CH</t>
        </is>
      </c>
      <c r="B13" t="n">
        <v>51517</v>
      </c>
      <c r="C13" t="n">
        <v>1241021799460.426</v>
      </c>
      <c r="D13" t="n">
        <v>4452868691.0388</v>
      </c>
      <c r="E13" t="inlineStr">
        <is>
          <t>스위스</t>
        </is>
      </c>
      <c r="F13" t="n">
        <v>0.8</v>
      </c>
    </row>
    <row r="14">
      <c r="A14" t="inlineStr">
        <is>
          <t>KR</t>
        </is>
      </c>
      <c r="B14" t="n">
        <v>97166</v>
      </c>
      <c r="C14" t="n">
        <v>1048393532739.862</v>
      </c>
      <c r="D14" t="n">
        <v>4164762827.2203</v>
      </c>
      <c r="E14" t="inlineStr">
        <is>
          <t>한국</t>
        </is>
      </c>
      <c r="F14" t="n">
        <v>0.8</v>
      </c>
    </row>
    <row r="15">
      <c r="A15" t="inlineStr">
        <is>
          <t>UG</t>
        </is>
      </c>
      <c r="B15" t="n">
        <v>45752</v>
      </c>
      <c r="C15" t="n">
        <v>546884915981.4386</v>
      </c>
      <c r="D15" t="n">
        <v>3699357319.9778</v>
      </c>
      <c r="E15" t="inlineStr">
        <is>
          <t>우간다</t>
        </is>
      </c>
      <c r="F15" t="n">
        <v>0.7</v>
      </c>
    </row>
    <row r="16">
      <c r="A16" t="inlineStr">
        <is>
          <t>DE</t>
        </is>
      </c>
      <c r="B16" t="n">
        <v>457399</v>
      </c>
      <c r="C16" t="n">
        <v>1536342869902.341</v>
      </c>
      <c r="D16" t="n">
        <v>3512261501.7184</v>
      </c>
      <c r="E16" t="inlineStr">
        <is>
          <t>독일</t>
        </is>
      </c>
      <c r="F16" t="n">
        <v>0.7</v>
      </c>
    </row>
    <row r="17">
      <c r="A17" t="inlineStr">
        <is>
          <t>RW</t>
        </is>
      </c>
      <c r="B17" t="n">
        <v>28817</v>
      </c>
      <c r="C17" t="n">
        <v>1409568202997.353</v>
      </c>
      <c r="D17" t="n">
        <v>3454704545.8649</v>
      </c>
      <c r="E17" t="inlineStr">
        <is>
          <t>기타</t>
        </is>
      </c>
      <c r="F17" t="n">
        <v>0.7</v>
      </c>
    </row>
    <row r="18">
      <c r="A18" t="inlineStr">
        <is>
          <t>GB</t>
        </is>
      </c>
      <c r="B18" t="n">
        <v>684616</v>
      </c>
      <c r="C18" t="n">
        <v>1930521496423.175</v>
      </c>
      <c r="D18" t="n">
        <v>3302505600.3056</v>
      </c>
      <c r="E18" t="inlineStr">
        <is>
          <t>기타</t>
        </is>
      </c>
      <c r="F18" t="n">
        <v>0.6</v>
      </c>
    </row>
    <row r="19">
      <c r="A19" t="inlineStr">
        <is>
          <t>MY</t>
        </is>
      </c>
      <c r="B19" t="n">
        <v>72103</v>
      </c>
      <c r="C19" t="n">
        <v>1923188096383.746</v>
      </c>
      <c r="D19" t="n">
        <v>2770196011.7014</v>
      </c>
      <c r="E19" t="inlineStr">
        <is>
          <t>기타</t>
        </is>
      </c>
      <c r="F19" t="n">
        <v>0.5</v>
      </c>
    </row>
    <row r="20">
      <c r="A20" t="inlineStr">
        <is>
          <t>IT</t>
        </is>
      </c>
      <c r="B20" t="n">
        <v>210152</v>
      </c>
      <c r="C20" t="n">
        <v>855127012478.0754</v>
      </c>
      <c r="D20" t="n">
        <v>2633884312.1413</v>
      </c>
      <c r="E20" t="inlineStr">
        <is>
          <t>기타</t>
        </is>
      </c>
      <c r="F20" t="n">
        <v>0.5</v>
      </c>
    </row>
    <row r="21">
      <c r="A21" t="inlineStr">
        <is>
          <t>TR</t>
        </is>
      </c>
      <c r="B21" t="n">
        <v>243227</v>
      </c>
      <c r="C21" t="n">
        <v>1454990056374.507</v>
      </c>
      <c r="D21" t="n">
        <v>2498504951.4632</v>
      </c>
      <c r="E21" t="inlineStr">
        <is>
          <t>기타</t>
        </is>
      </c>
      <c r="F21" t="n">
        <v>0.5</v>
      </c>
    </row>
    <row r="22">
      <c r="A22" t="inlineStr">
        <is>
          <t>RU</t>
        </is>
      </c>
      <c r="B22" t="n">
        <v>8648</v>
      </c>
      <c r="C22" t="n">
        <v>828760067733.3893</v>
      </c>
      <c r="D22" t="n">
        <v>2459061676.7335</v>
      </c>
      <c r="E22" t="inlineStr">
        <is>
          <t>기타</t>
        </is>
      </c>
      <c r="F22" t="n">
        <v>0.5</v>
      </c>
    </row>
    <row r="23">
      <c r="A23" t="inlineStr">
        <is>
          <t>SG</t>
        </is>
      </c>
      <c r="B23" t="n">
        <v>49076</v>
      </c>
      <c r="C23" t="n">
        <v>1560130597617.366</v>
      </c>
      <c r="D23" t="n">
        <v>2260945030.1999</v>
      </c>
      <c r="E23" t="inlineStr">
        <is>
          <t>기타</t>
        </is>
      </c>
      <c r="F23" t="n">
        <v>0.4</v>
      </c>
    </row>
    <row r="24">
      <c r="A24" t="inlineStr">
        <is>
          <t>BE</t>
        </is>
      </c>
      <c r="B24" t="n">
        <v>158440</v>
      </c>
      <c r="C24" t="n">
        <v>819798651923.7288</v>
      </c>
      <c r="D24" t="n">
        <v>2140219301.394</v>
      </c>
      <c r="E24" t="inlineStr">
        <is>
          <t>기타</t>
        </is>
      </c>
      <c r="F24" t="n">
        <v>0.4</v>
      </c>
    </row>
    <row r="25">
      <c r="A25" t="inlineStr">
        <is>
          <t>ID</t>
        </is>
      </c>
      <c r="B25" t="n">
        <v>64257</v>
      </c>
      <c r="C25" t="n">
        <v>1448535372962.02</v>
      </c>
      <c r="D25" t="n">
        <v>1972149660.6335</v>
      </c>
      <c r="E25" t="inlineStr">
        <is>
          <t>기타</t>
        </is>
      </c>
      <c r="F25" t="n">
        <v>0.4</v>
      </c>
    </row>
    <row r="26">
      <c r="A26" t="inlineStr">
        <is>
          <t>NL</t>
        </is>
      </c>
      <c r="B26" t="n">
        <v>146953</v>
      </c>
      <c r="C26" t="n">
        <v>819399160611.7476</v>
      </c>
      <c r="D26" t="n">
        <v>1920462240.5487</v>
      </c>
      <c r="E26" t="inlineStr">
        <is>
          <t>기타</t>
        </is>
      </c>
      <c r="F26" t="n">
        <v>0.4</v>
      </c>
    </row>
    <row r="27">
      <c r="A27" t="inlineStr">
        <is>
          <t>TH</t>
        </is>
      </c>
      <c r="B27" t="n">
        <v>114963</v>
      </c>
      <c r="C27" t="n">
        <v>1110177506512.235</v>
      </c>
      <c r="D27" t="n">
        <v>1618874563.5925</v>
      </c>
      <c r="E27" t="inlineStr">
        <is>
          <t>기타</t>
        </is>
      </c>
      <c r="F27" t="n">
        <v>0.3</v>
      </c>
    </row>
    <row r="28">
      <c r="A28" t="inlineStr">
        <is>
          <t>FR</t>
        </is>
      </c>
      <c r="B28" t="n">
        <v>133435</v>
      </c>
      <c r="C28" t="n">
        <v>684720967574.9011</v>
      </c>
      <c r="D28" t="n">
        <v>1606998616.1896</v>
      </c>
      <c r="E28" t="inlineStr">
        <is>
          <t>기타</t>
        </is>
      </c>
      <c r="F28" t="n">
        <v>0.3</v>
      </c>
    </row>
    <row r="29">
      <c r="A29" t="inlineStr">
        <is>
          <t>OM</t>
        </is>
      </c>
      <c r="B29" t="n">
        <v>51627</v>
      </c>
      <c r="C29" t="n">
        <v>1441579421401.178</v>
      </c>
      <c r="D29" t="n">
        <v>1474079522.4793</v>
      </c>
      <c r="E29" t="inlineStr">
        <is>
          <t>기타</t>
        </is>
      </c>
      <c r="F29" t="n">
        <v>0.3</v>
      </c>
    </row>
    <row r="30">
      <c r="A30" t="inlineStr">
        <is>
          <t>AU</t>
        </is>
      </c>
      <c r="B30" t="n">
        <v>93456</v>
      </c>
      <c r="C30" t="n">
        <v>565351233328.2274</v>
      </c>
      <c r="D30" t="n">
        <v>1418961834.2753</v>
      </c>
      <c r="E30" t="inlineStr">
        <is>
          <t>기타</t>
        </is>
      </c>
      <c r="F30" t="n">
        <v>0.3</v>
      </c>
    </row>
    <row r="31">
      <c r="A31" t="inlineStr">
        <is>
          <t>HK</t>
        </is>
      </c>
      <c r="B31" t="n">
        <v>173360</v>
      </c>
      <c r="C31" t="n">
        <v>959097160157.0691</v>
      </c>
      <c r="D31" t="n">
        <v>1376769043.246</v>
      </c>
      <c r="E31" t="inlineStr">
        <is>
          <t>기타</t>
        </is>
      </c>
      <c r="F31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CUSTOMS_OFFICE</t>
        </is>
      </c>
      <c r="B1" t="inlineStr">
        <is>
          <t>ITEM_COUNT</t>
        </is>
      </c>
      <c r="C1" t="inlineStr">
        <is>
          <t>TOTAL_TAX</t>
        </is>
      </c>
      <c r="D1" t="inlineStr">
        <is>
          <t>TOTAL_VALUE_USD</t>
        </is>
      </c>
    </row>
    <row r="2">
      <c r="A2" t="inlineStr">
        <is>
          <t>TZDL</t>
        </is>
      </c>
      <c r="B2" t="n">
        <v>14675157</v>
      </c>
      <c r="C2" t="n">
        <v>165928050364524.7</v>
      </c>
      <c r="D2" t="n">
        <v>314038711702.4877</v>
      </c>
    </row>
    <row r="3">
      <c r="A3" t="inlineStr">
        <is>
          <t>TZTM</t>
        </is>
      </c>
      <c r="B3" t="n">
        <v>917853</v>
      </c>
      <c r="C3" t="n">
        <v>49210892457584.6</v>
      </c>
      <c r="D3" t="n">
        <v>137133628851.5796</v>
      </c>
    </row>
    <row r="4">
      <c r="A4" t="inlineStr">
        <is>
          <t>TZNG</t>
        </is>
      </c>
      <c r="B4" t="n">
        <v>425013</v>
      </c>
      <c r="C4" t="n">
        <v>5318338915385.7</v>
      </c>
      <c r="D4" t="n">
        <v>9988202841.5522</v>
      </c>
    </row>
    <row r="5">
      <c r="A5" t="inlineStr">
        <is>
          <t>TZTP</t>
        </is>
      </c>
      <c r="B5" t="n">
        <v>135244</v>
      </c>
      <c r="C5" t="n">
        <v>3361916431463.4</v>
      </c>
      <c r="D5" t="n">
        <v>4378550364.5579</v>
      </c>
    </row>
    <row r="6">
      <c r="A6" t="inlineStr">
        <is>
          <t>TZDA</t>
        </is>
      </c>
      <c r="B6" t="n">
        <v>2276712</v>
      </c>
      <c r="C6" t="n">
        <v>2553600878148.937</v>
      </c>
      <c r="D6" t="n">
        <v>18542196779.1617</v>
      </c>
    </row>
    <row r="7">
      <c r="A7" t="inlineStr">
        <is>
          <t>TZMT</t>
        </is>
      </c>
      <c r="B7" t="n">
        <v>32309</v>
      </c>
      <c r="C7" t="n">
        <v>1564098784828.3</v>
      </c>
      <c r="D7" t="n">
        <v>10582857245.5768</v>
      </c>
    </row>
    <row r="8">
      <c r="A8" t="inlineStr">
        <is>
          <t>TZRU</t>
        </is>
      </c>
      <c r="B8" t="n">
        <v>61890</v>
      </c>
      <c r="C8" t="n">
        <v>1558111576368.3</v>
      </c>
      <c r="D8" t="n">
        <v>4201623763.9722</v>
      </c>
    </row>
    <row r="9">
      <c r="A9" t="inlineStr">
        <is>
          <t>ZNLR</t>
        </is>
      </c>
      <c r="B9" t="n">
        <v>966561</v>
      </c>
      <c r="C9" t="n">
        <v>1506675455013.2</v>
      </c>
      <c r="D9" t="n">
        <v>4397917464.3034</v>
      </c>
    </row>
    <row r="10">
      <c r="A10" t="inlineStr">
        <is>
          <t>TZHL</t>
        </is>
      </c>
      <c r="B10" t="n">
        <v>201535</v>
      </c>
      <c r="C10" t="n">
        <v>1139718982356.9</v>
      </c>
      <c r="D10" t="n">
        <v>2410211758.513</v>
      </c>
    </row>
    <row r="11">
      <c r="A11" t="inlineStr">
        <is>
          <t>TZSR</t>
        </is>
      </c>
      <c r="B11" t="n">
        <v>293961</v>
      </c>
      <c r="C11" t="n">
        <v>885177362146.6</v>
      </c>
      <c r="D11" t="n">
        <v>7031707200.5661</v>
      </c>
    </row>
    <row r="12">
      <c r="A12" t="inlineStr">
        <is>
          <t>TZHO</t>
        </is>
      </c>
      <c r="B12" t="n">
        <v>132293</v>
      </c>
      <c r="C12" t="n">
        <v>729758573196.5</v>
      </c>
      <c r="D12" t="n">
        <v>1882246542.3671</v>
      </c>
    </row>
    <row r="13">
      <c r="A13" t="inlineStr">
        <is>
          <t>TZMK</t>
        </is>
      </c>
      <c r="B13" t="n">
        <v>89714</v>
      </c>
      <c r="C13" t="n">
        <v>590524708494.3</v>
      </c>
      <c r="D13" t="n">
        <v>1652190467.0625</v>
      </c>
    </row>
    <row r="14">
      <c r="A14" t="inlineStr">
        <is>
          <t>TZKR</t>
        </is>
      </c>
      <c r="B14" t="n">
        <v>138874</v>
      </c>
      <c r="C14" t="n">
        <v>504776117738.6</v>
      </c>
      <c r="D14" t="n">
        <v>1747378231.7188</v>
      </c>
    </row>
    <row r="15">
      <c r="A15" t="inlineStr">
        <is>
          <t>TZAM</t>
        </is>
      </c>
      <c r="B15" t="n">
        <v>288310</v>
      </c>
      <c r="C15" t="n">
        <v>339735636641</v>
      </c>
      <c r="D15" t="n">
        <v>7214089922.4268</v>
      </c>
    </row>
    <row r="16">
      <c r="A16" t="inlineStr">
        <is>
          <t>TZMZ</t>
        </is>
      </c>
      <c r="B16" t="n">
        <v>122571</v>
      </c>
      <c r="C16" t="n">
        <v>284172082883.8</v>
      </c>
      <c r="D16" t="n">
        <v>3322340197.4745</v>
      </c>
    </row>
    <row r="17">
      <c r="A17" t="inlineStr">
        <is>
          <t>TZAR</t>
        </is>
      </c>
      <c r="B17" t="n">
        <v>23223</v>
      </c>
      <c r="C17" t="n">
        <v>254523700138.2</v>
      </c>
      <c r="D17" t="n">
        <v>1344324274.334</v>
      </c>
    </row>
    <row r="18">
      <c r="A18" t="inlineStr">
        <is>
          <t>TZKB</t>
        </is>
      </c>
      <c r="B18" t="n">
        <v>30541</v>
      </c>
      <c r="C18" t="n">
        <v>244150434050.9</v>
      </c>
      <c r="D18" t="n">
        <v>1437082794.5128</v>
      </c>
    </row>
    <row r="19">
      <c r="A19" t="inlineStr">
        <is>
          <t>TZKA</t>
        </is>
      </c>
      <c r="B19" t="n">
        <v>278051</v>
      </c>
      <c r="C19" t="n">
        <v>178523066632.8</v>
      </c>
      <c r="D19" t="n">
        <v>923447757.6312</v>
      </c>
    </row>
    <row r="20">
      <c r="A20" t="inlineStr">
        <is>
          <t>TZTR</t>
        </is>
      </c>
      <c r="B20" t="n">
        <v>20701</v>
      </c>
      <c r="C20" t="n">
        <v>140222128796.1</v>
      </c>
      <c r="D20" t="n">
        <v>384487738.949</v>
      </c>
    </row>
    <row r="21">
      <c r="A21" t="inlineStr">
        <is>
          <t>TZBG</t>
        </is>
      </c>
      <c r="B21" t="n">
        <v>16902</v>
      </c>
      <c r="C21" t="n">
        <v>114281463923.5</v>
      </c>
      <c r="D21" t="n">
        <v>100697523.869</v>
      </c>
    </row>
    <row r="22">
      <c r="A22" t="inlineStr">
        <is>
          <t>TZKG</t>
        </is>
      </c>
      <c r="B22" t="n">
        <v>36516</v>
      </c>
      <c r="C22" t="n">
        <v>95635380296.8</v>
      </c>
      <c r="D22" t="n">
        <v>786356940.5736001</v>
      </c>
    </row>
    <row r="23">
      <c r="A23" t="inlineStr">
        <is>
          <t>ZNAP</t>
        </is>
      </c>
      <c r="B23" t="n">
        <v>175417</v>
      </c>
      <c r="C23" t="n">
        <v>57307361215</v>
      </c>
      <c r="D23" t="n">
        <v>146704128.0722</v>
      </c>
    </row>
    <row r="24">
      <c r="A24" t="inlineStr">
        <is>
          <t>TZSW</t>
        </is>
      </c>
      <c r="B24" t="n">
        <v>922</v>
      </c>
      <c r="C24" t="n">
        <v>27166536404.1</v>
      </c>
      <c r="D24" t="n">
        <v>45770047.5151</v>
      </c>
    </row>
    <row r="25">
      <c r="A25" t="inlineStr">
        <is>
          <t>TZML</t>
        </is>
      </c>
      <c r="B25" t="n">
        <v>7640</v>
      </c>
      <c r="C25" t="n">
        <v>24936975718.4</v>
      </c>
      <c r="D25" t="n">
        <v>77939498.5618</v>
      </c>
    </row>
    <row r="26">
      <c r="A26" t="inlineStr">
        <is>
          <t>TZKY</t>
        </is>
      </c>
      <c r="B26" t="n">
        <v>10144</v>
      </c>
      <c r="C26" t="n">
        <v>23254348770</v>
      </c>
      <c r="D26" t="n">
        <v>31198402.085</v>
      </c>
    </row>
    <row r="27">
      <c r="A27" t="inlineStr">
        <is>
          <t>TZDO</t>
        </is>
      </c>
      <c r="B27" t="n">
        <v>2524</v>
      </c>
      <c r="C27" t="n">
        <v>15636854995.3</v>
      </c>
      <c r="D27" t="n">
        <v>65716589.5538</v>
      </c>
    </row>
    <row r="28">
      <c r="A28" t="inlineStr">
        <is>
          <t>TZOR</t>
        </is>
      </c>
      <c r="B28" t="n">
        <v>9150</v>
      </c>
      <c r="C28" t="n">
        <v>15245148670.8</v>
      </c>
      <c r="D28" t="n">
        <v>143675475.2008</v>
      </c>
    </row>
    <row r="29">
      <c r="A29" t="inlineStr">
        <is>
          <t>TZMS</t>
        </is>
      </c>
      <c r="B29" t="n">
        <v>2985</v>
      </c>
      <c r="C29" t="n">
        <v>14154712682.7</v>
      </c>
      <c r="D29" t="n">
        <v>51065213.8354</v>
      </c>
    </row>
    <row r="30">
      <c r="A30" t="inlineStr">
        <is>
          <t>TZPW</t>
        </is>
      </c>
      <c r="B30" t="n">
        <v>266</v>
      </c>
      <c r="C30" t="n">
        <v>9620885391</v>
      </c>
      <c r="D30" t="n">
        <v>22823462.1255</v>
      </c>
    </row>
    <row r="31">
      <c r="A31" t="inlineStr">
        <is>
          <t>TZBK</t>
        </is>
      </c>
      <c r="B31" t="n">
        <v>5777</v>
      </c>
      <c r="C31" t="n">
        <v>8122657462.4</v>
      </c>
      <c r="D31" t="n">
        <v>258067207.4646</v>
      </c>
    </row>
    <row r="32">
      <c r="A32" t="inlineStr">
        <is>
          <t>TZMN</t>
        </is>
      </c>
      <c r="B32" t="n">
        <v>3939</v>
      </c>
      <c r="C32" t="n">
        <v>7149809724.6</v>
      </c>
      <c r="D32" t="n">
        <v>11442980.0629</v>
      </c>
    </row>
    <row r="33">
      <c r="A33" t="inlineStr">
        <is>
          <t>TZSO</t>
        </is>
      </c>
      <c r="B33" t="n">
        <v>3416</v>
      </c>
      <c r="C33" t="n">
        <v>5956090386</v>
      </c>
      <c r="D33" t="n">
        <v>12521064.4739</v>
      </c>
    </row>
    <row r="34">
      <c r="A34" t="inlineStr">
        <is>
          <t>ZNCH</t>
        </is>
      </c>
      <c r="B34" t="n">
        <v>1014</v>
      </c>
      <c r="C34" t="n">
        <v>5877957103.2</v>
      </c>
      <c r="D34" t="n">
        <v>68663543.04279999</v>
      </c>
    </row>
    <row r="35">
      <c r="A35" t="inlineStr">
        <is>
          <t>TZIK</t>
        </is>
      </c>
      <c r="B35" t="n">
        <v>8488</v>
      </c>
      <c r="C35" t="n">
        <v>5465347722</v>
      </c>
      <c r="D35" t="n">
        <v>6914765908.6984</v>
      </c>
    </row>
    <row r="36">
      <c r="A36" t="inlineStr">
        <is>
          <t>TZPA</t>
        </is>
      </c>
      <c r="B36" t="n">
        <v>2026</v>
      </c>
      <c r="C36" t="n">
        <v>5034921211</v>
      </c>
      <c r="D36" t="n">
        <v>5997710.9029</v>
      </c>
    </row>
    <row r="37">
      <c r="A37" t="inlineStr">
        <is>
          <t>TZMB</t>
        </is>
      </c>
      <c r="B37" t="n">
        <v>1866</v>
      </c>
      <c r="C37" t="n">
        <v>4233282935.3</v>
      </c>
      <c r="D37" t="n">
        <v>938466110.6778001</v>
      </c>
    </row>
    <row r="38">
      <c r="A38" t="inlineStr">
        <is>
          <t>TZMV</t>
        </is>
      </c>
      <c r="B38" t="n">
        <v>3394</v>
      </c>
      <c r="C38" t="n">
        <v>3877209381</v>
      </c>
      <c r="D38" t="n">
        <v>136013079.8927</v>
      </c>
    </row>
    <row r="39">
      <c r="A39" t="inlineStr">
        <is>
          <t>ZNWP</t>
        </is>
      </c>
      <c r="B39" t="n">
        <v>1417</v>
      </c>
      <c r="C39" t="n">
        <v>3804468320</v>
      </c>
      <c r="D39" t="n">
        <v>8032663.3447</v>
      </c>
    </row>
    <row r="40">
      <c r="A40" t="inlineStr">
        <is>
          <t>TZNA</t>
        </is>
      </c>
      <c r="B40" t="n">
        <v>134</v>
      </c>
      <c r="C40" t="n">
        <v>2894368740</v>
      </c>
      <c r="D40" t="n">
        <v>2482064.9992</v>
      </c>
    </row>
    <row r="41">
      <c r="A41" t="inlineStr">
        <is>
          <t>TZIR</t>
        </is>
      </c>
      <c r="B41" t="n">
        <v>1651</v>
      </c>
      <c r="C41" t="n">
        <v>2459073408.2</v>
      </c>
      <c r="D41" t="n">
        <v>3847349.1071</v>
      </c>
    </row>
    <row r="42">
      <c r="A42" t="inlineStr">
        <is>
          <t>ZNMK</t>
        </is>
      </c>
      <c r="B42" t="n">
        <v>1120</v>
      </c>
      <c r="C42" t="n">
        <v>2160528653</v>
      </c>
      <c r="D42" t="n">
        <v>2105513.337</v>
      </c>
    </row>
    <row r="43">
      <c r="A43" t="inlineStr">
        <is>
          <t>TZSH</t>
        </is>
      </c>
      <c r="B43" t="n">
        <v>1157</v>
      </c>
      <c r="C43" t="n">
        <v>1935782794</v>
      </c>
      <c r="D43" t="n">
        <v>1064659836.7279</v>
      </c>
    </row>
    <row r="44">
      <c r="A44" t="inlineStr">
        <is>
          <t>TZLD</t>
        </is>
      </c>
      <c r="B44" t="n">
        <v>703</v>
      </c>
      <c r="C44" t="n">
        <v>1731037737.9</v>
      </c>
      <c r="D44" t="n">
        <v>48426667.3036</v>
      </c>
    </row>
    <row r="45">
      <c r="A45" t="inlineStr">
        <is>
          <t>TZMY</t>
        </is>
      </c>
      <c r="B45" t="n">
        <v>221</v>
      </c>
      <c r="C45" t="n">
        <v>669403731</v>
      </c>
      <c r="D45" t="n">
        <v>2286707.4876</v>
      </c>
    </row>
    <row r="46">
      <c r="A46" t="inlineStr">
        <is>
          <t>TZKL</t>
        </is>
      </c>
      <c r="B46" t="n">
        <v>741</v>
      </c>
      <c r="C46" t="n">
        <v>522647497</v>
      </c>
      <c r="D46" t="n">
        <v>52498514.2347</v>
      </c>
    </row>
    <row r="47">
      <c r="A47" t="inlineStr">
        <is>
          <t>TZGT</t>
        </is>
      </c>
      <c r="B47" t="n">
        <v>1377</v>
      </c>
      <c r="C47" t="n">
        <v>429885285</v>
      </c>
      <c r="D47" t="n">
        <v>6573420550.577</v>
      </c>
    </row>
    <row r="48">
      <c r="A48" t="inlineStr">
        <is>
          <t>TZMM</t>
        </is>
      </c>
      <c r="B48" t="n">
        <v>136</v>
      </c>
      <c r="C48" t="n">
        <v>333864595</v>
      </c>
      <c r="D48" t="n">
        <v>5742252.7968</v>
      </c>
    </row>
    <row r="49">
      <c r="A49" t="inlineStr">
        <is>
          <t>ZNZP</t>
        </is>
      </c>
      <c r="B49" t="n">
        <v>245</v>
      </c>
      <c r="C49" t="n">
        <v>322694328</v>
      </c>
      <c r="D49" t="n">
        <v>440923.3582</v>
      </c>
    </row>
    <row r="50">
      <c r="A50" t="inlineStr">
        <is>
          <t>TZTB</t>
        </is>
      </c>
      <c r="B50" t="n">
        <v>87</v>
      </c>
      <c r="C50" t="n">
        <v>304203646</v>
      </c>
      <c r="D50" t="n">
        <v>543337.3949</v>
      </c>
    </row>
    <row r="51">
      <c r="A51" t="inlineStr">
        <is>
          <t>TZSG</t>
        </is>
      </c>
      <c r="B51" t="n">
        <v>564</v>
      </c>
      <c r="C51" t="n">
        <v>259716805.8</v>
      </c>
      <c r="D51" t="n">
        <v>159516126.8466</v>
      </c>
    </row>
    <row r="52">
      <c r="A52" t="inlineStr">
        <is>
          <t>TZMA</t>
        </is>
      </c>
      <c r="B52" t="n">
        <v>4249</v>
      </c>
      <c r="C52" t="n">
        <v>180026972</v>
      </c>
      <c r="D52" t="n">
        <v>139856522.7802</v>
      </c>
    </row>
    <row r="53">
      <c r="A53" t="inlineStr">
        <is>
          <t>TZKT</t>
        </is>
      </c>
      <c r="B53" t="n">
        <v>107</v>
      </c>
      <c r="C53" t="n">
        <v>101683466</v>
      </c>
      <c r="D53" t="n">
        <v>51232860.8997</v>
      </c>
    </row>
    <row r="54">
      <c r="A54" t="inlineStr">
        <is>
          <t>TZKK</t>
        </is>
      </c>
      <c r="B54" t="n">
        <v>3</v>
      </c>
      <c r="C54" t="n">
        <v>46697137</v>
      </c>
      <c r="D54" t="n">
        <v>11681.2125</v>
      </c>
    </row>
    <row r="55">
      <c r="A55" t="inlineStr">
        <is>
          <t>TZIS</t>
        </is>
      </c>
      <c r="B55" t="n">
        <v>127</v>
      </c>
      <c r="C55" t="n">
        <v>43861754</v>
      </c>
      <c r="D55" t="n">
        <v>1172975.5819</v>
      </c>
    </row>
    <row r="56">
      <c r="A56" t="inlineStr">
        <is>
          <t>TZKD</t>
        </is>
      </c>
      <c r="B56" t="n">
        <v>449</v>
      </c>
      <c r="C56" t="n">
        <v>23069340</v>
      </c>
      <c r="D56" t="n">
        <v>1950018.7436</v>
      </c>
    </row>
    <row r="57">
      <c r="A57" t="inlineStr">
        <is>
          <t>TZBW</t>
        </is>
      </c>
      <c r="B57" t="n">
        <v>437</v>
      </c>
      <c r="C57" t="n">
        <v>15901342</v>
      </c>
      <c r="D57" t="n">
        <v>3193831.1726</v>
      </c>
    </row>
    <row r="58">
      <c r="A58" t="inlineStr">
        <is>
          <t>TZKI</t>
        </is>
      </c>
      <c r="B58" t="n">
        <v>162</v>
      </c>
      <c r="C58" t="n">
        <v>15681561</v>
      </c>
      <c r="D58" t="n">
        <v>893120.5354000001</v>
      </c>
    </row>
    <row r="59">
      <c r="A59" t="inlineStr">
        <is>
          <t>KE01</t>
        </is>
      </c>
      <c r="B59" t="n">
        <v>1</v>
      </c>
      <c r="C59" t="n">
        <v>14143222</v>
      </c>
      <c r="D59" t="n">
        <v>6972.3001</v>
      </c>
    </row>
    <row r="60">
      <c r="A60" t="inlineStr">
        <is>
          <t>TZMF</t>
        </is>
      </c>
      <c r="B60" t="n">
        <v>2</v>
      </c>
      <c r="C60" t="n">
        <v>7582945</v>
      </c>
      <c r="D60" t="n">
        <v>3368.9709</v>
      </c>
    </row>
    <row r="61">
      <c r="A61" t="inlineStr">
        <is>
          <t>TZKN</t>
        </is>
      </c>
      <c r="B61" t="n">
        <v>408</v>
      </c>
      <c r="C61" t="n">
        <v>0</v>
      </c>
      <c r="D61" t="n">
        <v>26281702.2038</v>
      </c>
    </row>
    <row r="62">
      <c r="A62" t="inlineStr">
        <is>
          <t>TZYZ</t>
        </is>
      </c>
      <c r="B62" t="n">
        <v>6</v>
      </c>
      <c r="C62" t="n">
        <v>0</v>
      </c>
      <c r="D62" t="n">
        <v>77655.91</v>
      </c>
    </row>
    <row r="63">
      <c r="A63" t="inlineStr">
        <is>
          <t>TZBB</t>
        </is>
      </c>
      <c r="B63" t="n">
        <v>142</v>
      </c>
      <c r="C63" t="n">
        <v>0</v>
      </c>
      <c r="D63" t="n">
        <v>4135829.4975</v>
      </c>
    </row>
    <row r="64">
      <c r="A64" t="inlineStr">
        <is>
          <t>TZMR</t>
        </is>
      </c>
      <c r="B64" t="n">
        <v>664</v>
      </c>
      <c r="C64" t="n">
        <v>0</v>
      </c>
      <c r="D64" t="n">
        <v>12865980.062</v>
      </c>
    </row>
    <row r="65">
      <c r="A65" t="inlineStr">
        <is>
          <t>TZMW</t>
        </is>
      </c>
      <c r="B65" t="n">
        <v>2</v>
      </c>
      <c r="C65" t="n">
        <v>0</v>
      </c>
      <c r="D65" t="n">
        <v>156587.4</v>
      </c>
    </row>
    <row r="66">
      <c r="A66" t="inlineStr">
        <is>
          <t>TZKO</t>
        </is>
      </c>
      <c r="B66" t="n">
        <v>8</v>
      </c>
      <c r="C66" t="n">
        <v>0</v>
      </c>
      <c r="D66" t="n">
        <v>1367422.73</v>
      </c>
    </row>
    <row r="67">
      <c r="A67" t="inlineStr">
        <is>
          <t>TZCI</t>
        </is>
      </c>
      <c r="B67" t="n">
        <v>2</v>
      </c>
      <c r="C67" t="n">
        <v>0</v>
      </c>
      <c r="D67" t="n">
        <v>816.9241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ITEM_COUNT</t>
        </is>
      </c>
      <c r="C1" t="inlineStr">
        <is>
          <t>TOTAL_TAX</t>
        </is>
      </c>
      <c r="D1" t="inlineStr">
        <is>
          <t>TOTAL_VALUE_USD</t>
        </is>
      </c>
    </row>
    <row r="2">
      <c r="A2" t="inlineStr">
        <is>
          <t>2024-01</t>
        </is>
      </c>
      <c r="B2" t="n">
        <v>14916</v>
      </c>
      <c r="C2" t="n">
        <v>444608805289</v>
      </c>
      <c r="D2" t="n">
        <v>867475562.687</v>
      </c>
    </row>
    <row r="3">
      <c r="A3" t="inlineStr">
        <is>
          <t>2024-02</t>
        </is>
      </c>
      <c r="B3" t="n">
        <v>175015</v>
      </c>
      <c r="C3" t="n">
        <v>9063187923135</v>
      </c>
      <c r="D3" t="n">
        <v>18790802621.1561</v>
      </c>
    </row>
    <row r="4">
      <c r="A4" t="inlineStr">
        <is>
          <t>2024-03</t>
        </is>
      </c>
      <c r="B4" t="n">
        <v>208153</v>
      </c>
      <c r="C4" t="n">
        <v>3705286884653</v>
      </c>
      <c r="D4" t="n">
        <v>6828396625.9248</v>
      </c>
    </row>
    <row r="5">
      <c r="A5" t="inlineStr">
        <is>
          <t>2024-04</t>
        </is>
      </c>
      <c r="B5" t="n">
        <v>172645</v>
      </c>
      <c r="C5" t="n">
        <v>3188203782670</v>
      </c>
      <c r="D5" t="n">
        <v>5772042273.7829</v>
      </c>
    </row>
    <row r="6">
      <c r="A6" t="inlineStr">
        <is>
          <t>2024-05</t>
        </is>
      </c>
      <c r="B6" t="n">
        <v>205612</v>
      </c>
      <c r="C6" t="n">
        <v>4189611332159</v>
      </c>
      <c r="D6" t="n">
        <v>7307163713.2545</v>
      </c>
    </row>
    <row r="7">
      <c r="A7" t="inlineStr">
        <is>
          <t>2024-06</t>
        </is>
      </c>
      <c r="B7" t="n">
        <v>232241</v>
      </c>
      <c r="C7" t="n">
        <v>3589289579194</v>
      </c>
      <c r="D7" t="n">
        <v>5948280499.7593</v>
      </c>
    </row>
    <row r="8">
      <c r="A8" t="inlineStr">
        <is>
          <t>2024-07</t>
        </is>
      </c>
      <c r="B8" t="n">
        <v>126227</v>
      </c>
      <c r="C8" t="n">
        <v>2266684452634</v>
      </c>
      <c r="D8" t="n">
        <v>4561135718.0801</v>
      </c>
    </row>
    <row r="9">
      <c r="A9" t="inlineStr">
        <is>
          <t>2024-09</t>
        </is>
      </c>
      <c r="B9" t="n">
        <v>3</v>
      </c>
      <c r="C9" t="n">
        <v>5288491</v>
      </c>
      <c r="D9" t="n">
        <v>6570</v>
      </c>
    </row>
    <row r="10">
      <c r="A10" t="inlineStr">
        <is>
          <t>2024-10</t>
        </is>
      </c>
      <c r="B10" t="n">
        <v>837</v>
      </c>
      <c r="C10" t="n">
        <v>23881342056</v>
      </c>
      <c r="D10" t="n">
        <v>4122205.6642</v>
      </c>
    </row>
    <row r="11">
      <c r="A11" t="inlineStr">
        <is>
          <t>2024-11</t>
        </is>
      </c>
      <c r="B11" t="n">
        <v>2702</v>
      </c>
      <c r="C11" t="n">
        <v>9940530217</v>
      </c>
      <c r="D11" t="n">
        <v>9477599.6949</v>
      </c>
    </row>
    <row r="12">
      <c r="A12" t="inlineStr">
        <is>
          <t>2024-12</t>
        </is>
      </c>
      <c r="B12" t="n">
        <v>501</v>
      </c>
      <c r="C12" t="n">
        <v>4173909545</v>
      </c>
      <c r="D12" t="n">
        <v>5163155.0518</v>
      </c>
    </row>
    <row r="13">
      <c r="A13" t="inlineStr">
        <is>
          <t>2025-01</t>
        </is>
      </c>
      <c r="B13" t="n">
        <v>1541</v>
      </c>
      <c r="C13" t="n">
        <v>11568222899</v>
      </c>
      <c r="D13" t="n">
        <v>14972897.8542</v>
      </c>
    </row>
    <row r="14">
      <c r="A14" t="inlineStr">
        <is>
          <t>2025-02</t>
        </is>
      </c>
      <c r="B14" t="n">
        <v>188</v>
      </c>
      <c r="C14" t="n">
        <v>2289709290</v>
      </c>
      <c r="D14" t="n">
        <v>2591779.0775</v>
      </c>
    </row>
    <row r="15">
      <c r="A15" t="inlineStr">
        <is>
          <t>2025-03</t>
        </is>
      </c>
      <c r="B15" t="n">
        <v>1240</v>
      </c>
      <c r="C15" t="n">
        <v>471827658</v>
      </c>
      <c r="D15" t="n">
        <v>407093.5938</v>
      </c>
    </row>
    <row r="16">
      <c r="A16" t="inlineStr">
        <is>
          <t>2025-04</t>
        </is>
      </c>
      <c r="B16" t="n">
        <v>28</v>
      </c>
      <c r="C16" t="n">
        <v>493952416</v>
      </c>
      <c r="D16" t="n">
        <v>2260721.4371</v>
      </c>
    </row>
    <row r="17">
      <c r="A17" t="inlineStr">
        <is>
          <t>2025-05</t>
        </is>
      </c>
      <c r="B17" t="n">
        <v>13</v>
      </c>
      <c r="C17" t="n">
        <v>40371532371</v>
      </c>
      <c r="D17" t="n">
        <v>29665752.484</v>
      </c>
    </row>
    <row r="18">
      <c r="A18" t="inlineStr">
        <is>
          <t>2025-06</t>
        </is>
      </c>
      <c r="B18" t="n">
        <v>10</v>
      </c>
      <c r="C18" t="n">
        <v>399292599</v>
      </c>
      <c r="D18" t="n">
        <v>455900.2487</v>
      </c>
    </row>
    <row r="19">
      <c r="A19" t="inlineStr">
        <is>
          <t>2025-07</t>
        </is>
      </c>
      <c r="B19" t="n">
        <v>26</v>
      </c>
      <c r="C19" t="n">
        <v>172377920</v>
      </c>
      <c r="D19" t="n">
        <v>262705</v>
      </c>
    </row>
    <row r="20">
      <c r="A20" t="inlineStr">
        <is>
          <t>2025-08</t>
        </is>
      </c>
      <c r="B20" t="n">
        <v>18</v>
      </c>
      <c r="C20" t="n">
        <v>332227211</v>
      </c>
      <c r="D20" t="n">
        <v>501790.77</v>
      </c>
    </row>
    <row r="21">
      <c r="A21" t="inlineStr">
        <is>
          <t>2025-09</t>
        </is>
      </c>
      <c r="B21" t="n">
        <v>16</v>
      </c>
      <c r="C21" t="n">
        <v>29366252</v>
      </c>
      <c r="D21" t="n">
        <v>75680.75999999999</v>
      </c>
    </row>
    <row r="22">
      <c r="A22" t="inlineStr">
        <is>
          <t>2025-10</t>
        </is>
      </c>
      <c r="B22" t="n">
        <v>8</v>
      </c>
      <c r="C22" t="n">
        <v>14688320</v>
      </c>
      <c r="D22" t="n">
        <v>26538.04</v>
      </c>
    </row>
    <row r="23">
      <c r="A23" t="inlineStr">
        <is>
          <t>2025-12</t>
        </is>
      </c>
      <c r="B23" t="n">
        <v>1</v>
      </c>
      <c r="C23" t="n">
        <v>345518</v>
      </c>
      <c r="D23" t="n">
        <v>100</v>
      </c>
    </row>
    <row r="24">
      <c r="A24" t="inlineStr">
        <is>
          <t>2026-01</t>
        </is>
      </c>
      <c r="B24" t="n">
        <v>5</v>
      </c>
      <c r="C24" t="n">
        <v>1215874</v>
      </c>
      <c r="D24" t="n">
        <v>4000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시트명</t>
        </is>
      </c>
      <c r="B1" t="inlineStr">
        <is>
          <t>Claude 프롬프트</t>
        </is>
      </c>
      <c r="C1" t="inlineStr">
        <is>
          <t>Excel 함수</t>
        </is>
      </c>
    </row>
    <row r="2">
      <c r="A2" t="inlineStr">
        <is>
          <t>요약</t>
        </is>
      </c>
      <c r="B2" t="inlineStr">
        <is>
          <t>이 관세 수입 데이터의 주요 인사이트를 3가지로 요약해주세요.</t>
        </is>
      </c>
      <c r="C2">
        <f>CLAUDE("요약 분석", A1:B10)</f>
        <v/>
      </c>
    </row>
    <row r="3">
      <c r="A3" t="inlineStr">
        <is>
          <t>연도별_추이</t>
        </is>
      </c>
      <c r="B3" t="inlineStr">
        <is>
          <t>연도별 관세 수입 추이를 분석하고, 성장률 변화의 원인과 향후 전망을 예측해주세요.</t>
        </is>
      </c>
      <c r="C3">
        <f>CLAUDE("연도별 추이 분석", A1:G10)</f>
        <v/>
      </c>
    </row>
    <row r="4">
      <c r="A4" t="inlineStr">
        <is>
          <t>품목별_현황</t>
        </is>
      </c>
      <c r="B4" t="inlineStr">
        <is>
          <t>TOP 10 품목의 관세 수입 특성을 분석하고, 각 품목별 수입 트렌드를 설명해주세요.</t>
        </is>
      </c>
      <c r="C4">
        <f>CLAUDE("품목별 분석", A1:G30)</f>
        <v/>
      </c>
    </row>
    <row r="5">
      <c r="A5" t="inlineStr">
        <is>
          <t>국가별_현황</t>
        </is>
      </c>
      <c r="B5" t="inlineStr">
        <is>
          <t>주요 교역국의 수입 패턴을 분석하고, 국가별 특징과 리스크를 평가해주세요.</t>
        </is>
      </c>
      <c r="C5">
        <f>CLAUDE("국가별 분석", A1:F30)</f>
        <v/>
      </c>
    </row>
    <row r="6">
      <c r="A6" t="inlineStr">
        <is>
          <t>월별_추이</t>
        </is>
      </c>
      <c r="B6" t="inlineStr">
        <is>
          <t>월별 변동 패턴에서 계절성이 있는지 분석하고, 이상치가 있다면 원인을 추정해주세요.</t>
        </is>
      </c>
      <c r="C6">
        <f>CLAUDE("월별 추이 분석", A1:D25)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2026-01-30T07:01:33Z</dcterms:created>
  <dcterms:modified xmlns:dcterms="http://purl.org/dc/terms/" xmlns:xsi="http://www.w3.org/2001/XMLSchema-instance" xsi:type="dcterms:W3CDTF">2026-01-30T07:01:33Z</dcterms:modified>
</cp:coreProperties>
</file>